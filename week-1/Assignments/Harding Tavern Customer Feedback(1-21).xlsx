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olamartinez\Desktop\data-analytics\week-1\Assignments\"/>
    </mc:Choice>
  </mc:AlternateContent>
  <xr:revisionPtr revIDLastSave="0" documentId="13_ncr:1_{47E4304C-C2FD-4C78-8634-159BF96CB084}" xr6:coauthVersionLast="47" xr6:coauthVersionMax="47" xr10:uidLastSave="{00000000-0000-0000-0000-000000000000}"/>
  <bookViews>
    <workbookView xWindow="108" yWindow="336" windowWidth="22488" windowHeight="13032" activeTab="1" xr2:uid="{00000000-000D-0000-FFFF-FFFF00000000}"/>
  </bookViews>
  <sheets>
    <sheet name="survey data" sheetId="1" r:id="rId1"/>
    <sheet name="Sheet2" sheetId="2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N24" i="1"/>
  <c r="N23" i="1"/>
  <c r="D2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</calcChain>
</file>

<file path=xl/sharedStrings.xml><?xml version="1.0" encoding="utf-8"?>
<sst xmlns="http://schemas.openxmlformats.org/spreadsheetml/2006/main" count="152" uniqueCount="63">
  <si>
    <t>ID</t>
  </si>
  <si>
    <t>Start time</t>
  </si>
  <si>
    <t>Completion time</t>
  </si>
  <si>
    <t>Email</t>
  </si>
  <si>
    <t>Name</t>
  </si>
  <si>
    <t>Last modified time</t>
  </si>
  <si>
    <t>How often do you visit Harding Tavern?</t>
  </si>
  <si>
    <t>How would you rate the atmosphere?</t>
  </si>
  <si>
    <t>How would you rate the quality of service ? </t>
  </si>
  <si>
    <t>How can we improve the atmosphere? </t>
  </si>
  <si>
    <t>What do you typically spend per visit?</t>
  </si>
  <si>
    <t>How would you rate the drinks?</t>
  </si>
  <si>
    <t>Would you be interested in a rewards program for Harding Tavern?</t>
  </si>
  <si>
    <t>What kind of rewards would you like to see?</t>
  </si>
  <si>
    <t>Rate your experience today </t>
  </si>
  <si>
    <t>Write any additional feedback you'd like to share below</t>
  </si>
  <si>
    <t>anonymous</t>
  </si>
  <si>
    <t>Seasonal</t>
  </si>
  <si>
    <t>Better music</t>
  </si>
  <si>
    <t>$30-$45</t>
  </si>
  <si>
    <t>Yes</t>
  </si>
  <si>
    <t>Free drinks after a certain amount spent </t>
  </si>
  <si>
    <t>n/a</t>
  </si>
  <si>
    <t>Monthly</t>
  </si>
  <si>
    <t>More warm lighting</t>
  </si>
  <si>
    <t>Daily</t>
  </si>
  <si>
    <t>$15-$30</t>
  </si>
  <si>
    <t>Discounts on drinks and events (including extended happy hour)</t>
  </si>
  <si>
    <t>Yearly</t>
  </si>
  <si>
    <t>Maybe</t>
  </si>
  <si>
    <t>More seasonal decorations</t>
  </si>
  <si>
    <t>$45-60</t>
  </si>
  <si>
    <t>No</t>
  </si>
  <si>
    <t>Weekly</t>
  </si>
  <si>
    <t xml:space="preserve">Maybe not have the music so loud so people can still vibe with each other </t>
  </si>
  <si>
    <t xml:space="preserve">So far so good </t>
  </si>
  <si>
    <t>Never</t>
  </si>
  <si>
    <t>live bands</t>
  </si>
  <si>
    <t>Make it a bit more comfortable and improve seating arrangement or lighting.</t>
  </si>
  <si>
    <t>Birthday perks (free drink, discounts)</t>
  </si>
  <si>
    <t>Overall, the experience was good. The place has a nice atmosphere, and improving service speed would make it even better.</t>
  </si>
  <si>
    <t>Music is sometimes too loud</t>
  </si>
  <si>
    <t>i dunno</t>
  </si>
  <si>
    <t>Music!</t>
  </si>
  <si>
    <t>Speed of service</t>
  </si>
  <si>
    <t>under $15</t>
  </si>
  <si>
    <t>Nothing</t>
  </si>
  <si>
    <t>need more beer options!</t>
  </si>
  <si>
    <t>i love happy hour</t>
  </si>
  <si>
    <t>Music is too loud</t>
  </si>
  <si>
    <t>Add touchtunes</t>
  </si>
  <si>
    <t>N/A</t>
  </si>
  <si>
    <t>More mocktails</t>
  </si>
  <si>
    <t xml:space="preserve">wait time </t>
  </si>
  <si>
    <t xml:space="preserve">great atmosphere </t>
  </si>
  <si>
    <t>Live music</t>
  </si>
  <si>
    <t>Love the atmosphere. No improvements needed.</t>
  </si>
  <si>
    <t>Prices could be slightly lowered. I would come more often if so.</t>
  </si>
  <si>
    <t xml:space="preserve">3a. Each column represents a variable. ID, Start time of the survey and completion time. This measures how long each participant took to finish the survey. ID column was added  to identify each entry. </t>
  </si>
  <si>
    <t>Time Completed</t>
  </si>
  <si>
    <t>Row Labels</t>
  </si>
  <si>
    <t>Grand Total</t>
  </si>
  <si>
    <t>Average of Time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</si>
</sst>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7" formatCode="m/d/yy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NumberFormat="1"/>
    <xf numFmtId="167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7" formatCode="m/d/yyyy\ h:mm:ss"/>
    </dxf>
    <dxf>
      <numFmt numFmtId="167" formatCode="m/d/yyyy\ h:mm:ss"/>
    </dxf>
    <dxf>
      <numFmt numFmtId="0" formatCode="General"/>
    </dxf>
    <dxf>
      <numFmt numFmtId="28" formatCode="mm:ss"/>
    </dxf>
    <dxf>
      <numFmt numFmtId="167" formatCode="m/d/yyyy\ h:mm:ss"/>
    </dxf>
    <dxf>
      <numFmt numFmtId="167" formatCode="m/d/yy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[Harding Tavern Customer Feedback(1-21).xlsx]Sheet2!PivotTable1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Survey Completion</a:t>
            </a:r>
            <a:r>
              <a:rPr lang="en-US" baseline="0"/>
              <a:t> Times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Sheet2!$A$2:$A$23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Sheet2!$B$2:$B$23</c:f>
              <c:numCache>
                <c:formatCode>mm:ss</c:formatCode>
                <c:ptCount val="21"/>
                <c:pt idx="0">
                  <c:v>5.9027777777777778E-4</c:v>
                </c:pt>
                <c:pt idx="1">
                  <c:v>5.4398148148148144E-4</c:v>
                </c:pt>
                <c:pt idx="2">
                  <c:v>1.6203703703703703E-4</c:v>
                </c:pt>
                <c:pt idx="3">
                  <c:v>3.3564814814814812E-4</c:v>
                </c:pt>
                <c:pt idx="4">
                  <c:v>2.7314814814814814E-3</c:v>
                </c:pt>
                <c:pt idx="5">
                  <c:v>1.0185185185185184E-3</c:v>
                </c:pt>
                <c:pt idx="6">
                  <c:v>2.8935185185185184E-3</c:v>
                </c:pt>
                <c:pt idx="7">
                  <c:v>3.4722222222222224E-4</c:v>
                </c:pt>
                <c:pt idx="8">
                  <c:v>1.9675925925925926E-4</c:v>
                </c:pt>
                <c:pt idx="9">
                  <c:v>8.3333333333333339E-4</c:v>
                </c:pt>
                <c:pt idx="10">
                  <c:v>4.7453703703703704E-4</c:v>
                </c:pt>
                <c:pt idx="11">
                  <c:v>3.0439814814814813E-3</c:v>
                </c:pt>
                <c:pt idx="12">
                  <c:v>3.9120370370370368E-3</c:v>
                </c:pt>
                <c:pt idx="13">
                  <c:v>6.018518518518519E-4</c:v>
                </c:pt>
                <c:pt idx="14">
                  <c:v>1.5069444444444444E-2</c:v>
                </c:pt>
                <c:pt idx="15">
                  <c:v>6.5046296296296293E-3</c:v>
                </c:pt>
                <c:pt idx="16">
                  <c:v>0.14469907407407406</c:v>
                </c:pt>
                <c:pt idx="17">
                  <c:v>3.9351851851851852E-4</c:v>
                </c:pt>
                <c:pt idx="18">
                  <c:v>5.0925925925925921E-4</c:v>
                </c:pt>
                <c:pt idx="19">
                  <c:v>1.4351851851851852E-3</c:v>
                </c:pt>
                <c:pt idx="20">
                  <c:v>1.1342592592592593E-3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F-4CF0-8FD4-919D1518C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0602672"/>
        <c:axId val="1900556112"/>
      </c:barChart>
      <c:catAx>
        <c:axId val="1900602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556112"/>
        <c:crosses val="autoZero"/>
        <c:auto val="1"/>
        <c:lblAlgn val="ctr"/>
        <c:lblOffset val="100"/>
        <c:noMultiLvlLbl val="0"/>
      </c:catAx>
      <c:valAx>
        <c:axId val="190055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60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2</xdr:row>
      <xdr:rowOff>7620</xdr:rowOff>
    </xdr:from>
    <xdr:to>
      <xdr:col>9</xdr:col>
      <xdr:colOff>38100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315ED-A6F0-8C40-7C55-7F80954E1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a martinez" refreshedDate="46125.425044097225" createdVersion="8" refreshedVersion="8" minRefreshableVersion="3" recordCount="21" xr:uid="{0805F1A2-E579-49D6-B2B0-3167119D53A9}">
  <cacheSource type="worksheet">
    <worksheetSource name="Table1"/>
  </cacheSource>
  <cacheFields count="17">
    <cacheField name="ID" numFmtId="0">
      <sharedItems containsSemiMixedTypes="0" containsString="0" containsNumber="1" containsInteger="1" minValue="1" maxValue="21" count="2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</sharedItems>
    </cacheField>
    <cacheField name="Start time" numFmtId="167">
      <sharedItems containsSemiMixedTypes="0" containsNonDate="0" containsDate="1" containsString="0" minDate="2026-04-09T13:33:12" maxDate="2026-04-10T14:47:43"/>
    </cacheField>
    <cacheField name="Completion time" numFmtId="167">
      <sharedItems containsSemiMixedTypes="0" containsNonDate="0" containsDate="1" containsString="0" minDate="2026-04-09T13:34:03" maxDate="2026-04-10T14:49:21"/>
    </cacheField>
    <cacheField name="Time Completed" numFmtId="45">
      <sharedItems containsSemiMixedTypes="0" containsNonDate="0" containsDate="1" containsString="0" minDate="1899-12-30T00:00:14" maxDate="1899-12-30T03:28:22" count="21">
        <d v="1899-12-30T00:00:51"/>
        <d v="1899-12-30T00:00:47"/>
        <d v="1899-12-30T00:00:14"/>
        <d v="1899-12-30T00:00:29"/>
        <d v="1899-12-30T00:03:56"/>
        <d v="1899-12-30T00:01:28"/>
        <d v="1899-12-30T00:04:10"/>
        <d v="1899-12-30T00:00:30"/>
        <d v="1899-12-30T00:00:17"/>
        <d v="1899-12-30T00:01:12"/>
        <d v="1899-12-30T00:00:41"/>
        <d v="1899-12-30T00:04:23"/>
        <d v="1899-12-30T00:05:38"/>
        <d v="1899-12-30T00:00:52"/>
        <d v="1899-12-30T00:21:42"/>
        <d v="1899-12-30T00:09:22"/>
        <d v="1899-12-30T03:28:22"/>
        <d v="1899-12-30T00:00:34"/>
        <d v="1899-12-30T00:00:44"/>
        <d v="1899-12-30T00:02:04"/>
        <d v="1899-12-30T00:01:38"/>
      </sharedItems>
    </cacheField>
    <cacheField name="Email" numFmtId="0">
      <sharedItems/>
    </cacheField>
    <cacheField name="Name" numFmtId="0">
      <sharedItems containsNonDate="0" containsString="0" containsBlank="1" count="1">
        <m/>
      </sharedItems>
    </cacheField>
    <cacheField name="Last modified time" numFmtId="164">
      <sharedItems containsNonDate="0" containsString="0" containsBlank="1"/>
    </cacheField>
    <cacheField name="How often do you visit Harding Tavern?" numFmtId="0">
      <sharedItems/>
    </cacheField>
    <cacheField name="How would you rate the atmosphere?" numFmtId="0">
      <sharedItems containsSemiMixedTypes="0" containsString="0" containsNumber="1" containsInteger="1" minValue="3" maxValue="5"/>
    </cacheField>
    <cacheField name="How would you rate the quality of service ? " numFmtId="0">
      <sharedItems containsSemiMixedTypes="0" containsString="0" containsNumber="1" containsInteger="1" minValue="3" maxValue="5"/>
    </cacheField>
    <cacheField name="How can we improve the atmosphere? " numFmtId="0">
      <sharedItems containsBlank="1"/>
    </cacheField>
    <cacheField name="What do you typically spend per visit?" numFmtId="0">
      <sharedItems/>
    </cacheField>
    <cacheField name="How would you rate the drinks?" numFmtId="0">
      <sharedItems containsSemiMixedTypes="0" containsString="0" containsNumber="1" containsInteger="1" minValue="3" maxValue="5"/>
    </cacheField>
    <cacheField name="Would you be interested in a rewards program for Harding Tavern?" numFmtId="0">
      <sharedItems/>
    </cacheField>
    <cacheField name="What kind of rewards would you like to see?" numFmtId="0">
      <sharedItems/>
    </cacheField>
    <cacheField name="Rate your experience today " numFmtId="0">
      <sharedItems containsSemiMixedTypes="0" containsString="0" containsNumber="1" containsInteger="1" minValue="3" maxValue="5" count="3">
        <n v="4"/>
        <n v="5"/>
        <n v="3"/>
      </sharedItems>
    </cacheField>
    <cacheField name="Write any additional feedback you'd like to share below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d v="2026-04-09T13:33:12"/>
    <d v="2026-04-09T13:34:03"/>
    <x v="0"/>
    <s v="anonymous"/>
    <x v="0"/>
    <m/>
    <s v="Seasonal"/>
    <n v="4"/>
    <n v="3"/>
    <s v="Better music"/>
    <s v="$30-$45"/>
    <n v="4"/>
    <s v="Yes"/>
    <s v="Free drinks after a certain amount spent "/>
    <x v="0"/>
    <s v="n/a"/>
  </r>
  <r>
    <x v="1"/>
    <d v="2026-04-09T13:33:29"/>
    <d v="2026-04-09T13:34:16"/>
    <x v="1"/>
    <s v="anonymous"/>
    <x v="0"/>
    <m/>
    <s v="Monthly"/>
    <n v="5"/>
    <n v="5"/>
    <s v="More warm lighting"/>
    <s v="$30-$45"/>
    <n v="5"/>
    <s v="Yes"/>
    <s v="Free drinks after a certain amount spent "/>
    <x v="1"/>
    <m/>
  </r>
  <r>
    <x v="2"/>
    <d v="2026-04-09T13:34:16"/>
    <d v="2026-04-09T13:34:30"/>
    <x v="2"/>
    <s v="anonymous"/>
    <x v="0"/>
    <m/>
    <s v="Daily"/>
    <n v="5"/>
    <n v="5"/>
    <m/>
    <s v="$15-$30"/>
    <n v="5"/>
    <s v="Yes"/>
    <s v="Discounts on drinks and events (including extended happy hour)"/>
    <x v="0"/>
    <m/>
  </r>
  <r>
    <x v="3"/>
    <d v="2026-04-09T13:38:10"/>
    <d v="2026-04-09T13:38:39"/>
    <x v="3"/>
    <s v="anonymous"/>
    <x v="0"/>
    <m/>
    <s v="Yearly"/>
    <n v="5"/>
    <n v="4"/>
    <m/>
    <s v="$15-$30"/>
    <n v="4"/>
    <s v="Maybe"/>
    <s v="Free drinks after a certain amount spent "/>
    <x v="1"/>
    <m/>
  </r>
  <r>
    <x v="4"/>
    <d v="2026-04-09T13:34:49"/>
    <d v="2026-04-09T13:38:45"/>
    <x v="4"/>
    <s v="anonymous"/>
    <x v="0"/>
    <m/>
    <s v="Monthly"/>
    <n v="5"/>
    <n v="4"/>
    <s v="More seasonal decorations"/>
    <s v="$45-60"/>
    <n v="5"/>
    <s v="No"/>
    <s v="Free drinks after a certain amount spent "/>
    <x v="2"/>
    <m/>
  </r>
  <r>
    <x v="5"/>
    <d v="2026-04-09T13:37:28"/>
    <d v="2026-04-09T13:38:56"/>
    <x v="5"/>
    <s v="anonymous"/>
    <x v="0"/>
    <m/>
    <s v="Weekly"/>
    <n v="5"/>
    <n v="4"/>
    <s v="Maybe not have the music so loud so people can still vibe with each other "/>
    <s v="$30-$45"/>
    <n v="5"/>
    <s v="Yes"/>
    <s v="Discounts on drinks and events (including extended happy hour)"/>
    <x v="0"/>
    <s v="So far so good "/>
  </r>
  <r>
    <x v="6"/>
    <d v="2026-04-09T13:38:38"/>
    <d v="2026-04-09T13:42:48"/>
    <x v="6"/>
    <s v="anonymous"/>
    <x v="0"/>
    <m/>
    <s v="Never"/>
    <n v="4"/>
    <n v="4"/>
    <s v="live bands"/>
    <s v="$15-$30"/>
    <n v="4"/>
    <s v="Maybe"/>
    <s v="Discounts on drinks and events (including extended happy hour)"/>
    <x v="0"/>
    <m/>
  </r>
  <r>
    <x v="7"/>
    <d v="2026-04-09T13:44:01"/>
    <d v="2026-04-09T13:44:31"/>
    <x v="7"/>
    <s v="anonymous"/>
    <x v="0"/>
    <m/>
    <s v="Monthly"/>
    <n v="5"/>
    <n v="5"/>
    <m/>
    <s v="$30-$45"/>
    <n v="5"/>
    <s v="Maybe"/>
    <s v="Discounts on drinks and events (including extended happy hour)"/>
    <x v="1"/>
    <m/>
  </r>
  <r>
    <x v="8"/>
    <d v="2026-04-09T13:46:40"/>
    <d v="2026-04-09T13:46:57"/>
    <x v="8"/>
    <s v="anonymous"/>
    <x v="0"/>
    <m/>
    <s v="Daily"/>
    <n v="5"/>
    <n v="5"/>
    <m/>
    <s v="$15-$30"/>
    <n v="5"/>
    <s v="Yes"/>
    <s v="Free drinks after a certain amount spent "/>
    <x v="1"/>
    <m/>
  </r>
  <r>
    <x v="9"/>
    <d v="2026-04-09T13:46:47"/>
    <d v="2026-04-09T13:47:59"/>
    <x v="9"/>
    <s v="anonymous"/>
    <x v="0"/>
    <m/>
    <s v="Weekly"/>
    <n v="5"/>
    <n v="5"/>
    <s v="Make it a bit more comfortable and improve seating arrangement or lighting."/>
    <s v="$15-$30"/>
    <n v="5"/>
    <s v="Yes"/>
    <s v="Birthday perks (free drink, discounts)"/>
    <x v="1"/>
    <s v="Overall, the experience was good. The place has a nice atmosphere, and improving service speed would make it even better."/>
  </r>
  <r>
    <x v="10"/>
    <d v="2026-04-09T13:50:54"/>
    <d v="2026-04-09T13:51:35"/>
    <x v="10"/>
    <s v="anonymous"/>
    <x v="0"/>
    <m/>
    <s v="Monthly"/>
    <n v="4"/>
    <n v="5"/>
    <s v="Music is sometimes too loud"/>
    <s v="$30-$45"/>
    <n v="5"/>
    <s v="Maybe"/>
    <s v="Discounts on drinks and events (including extended happy hour)"/>
    <x v="1"/>
    <m/>
  </r>
  <r>
    <x v="11"/>
    <d v="2026-04-09T13:53:00"/>
    <d v="2026-04-09T13:57:23"/>
    <x v="11"/>
    <s v="anonymous"/>
    <x v="0"/>
    <m/>
    <s v="Never"/>
    <n v="4"/>
    <n v="3"/>
    <s v="i dunno"/>
    <s v="$15-$30"/>
    <n v="3"/>
    <s v="No"/>
    <s v="Discounts on drinks and events (including extended happy hour)"/>
    <x v="2"/>
    <m/>
  </r>
  <r>
    <x v="12"/>
    <d v="2026-04-09T13:53:55"/>
    <d v="2026-04-09T13:59:33"/>
    <x v="12"/>
    <s v="anonymous"/>
    <x v="0"/>
    <m/>
    <s v="Never"/>
    <n v="3"/>
    <n v="5"/>
    <s v="Music!"/>
    <s v="$30-$45"/>
    <n v="3"/>
    <s v="No"/>
    <s v="Birthday perks (free drink, discounts)"/>
    <x v="0"/>
    <m/>
  </r>
  <r>
    <x v="13"/>
    <d v="2026-04-09T13:59:35"/>
    <d v="2026-04-09T14:00:27"/>
    <x v="13"/>
    <s v="anonymous"/>
    <x v="0"/>
    <m/>
    <s v="Weekly"/>
    <n v="5"/>
    <n v="5"/>
    <s v="Speed of service"/>
    <s v="under $15"/>
    <n v="5"/>
    <s v="Yes"/>
    <s v="Discounts on drinks and events (including extended happy hour)"/>
    <x v="1"/>
    <s v="Nothing"/>
  </r>
  <r>
    <x v="14"/>
    <d v="2026-04-09T14:27:20"/>
    <d v="2026-04-09T14:49:02"/>
    <x v="14"/>
    <s v="anonymous"/>
    <x v="0"/>
    <m/>
    <s v="Weekly"/>
    <n v="4"/>
    <n v="4"/>
    <s v="need more beer options!"/>
    <s v="$45-60"/>
    <n v="5"/>
    <s v="Yes"/>
    <s v="Discounts on drinks and events (including extended happy hour)"/>
    <x v="0"/>
    <s v="i love happy hour"/>
  </r>
  <r>
    <x v="15"/>
    <d v="2026-04-09T16:28:39"/>
    <d v="2026-04-09T16:38:01"/>
    <x v="15"/>
    <s v="anonymous"/>
    <x v="0"/>
    <m/>
    <s v="Monthly"/>
    <n v="5"/>
    <n v="5"/>
    <s v="Music is too loud"/>
    <s v="$30-$45"/>
    <n v="5"/>
    <s v="Yes"/>
    <s v="Discounts on drinks and events (including extended happy hour)"/>
    <x v="1"/>
    <m/>
  </r>
  <r>
    <x v="16"/>
    <d v="2026-04-09T13:39:45"/>
    <d v="2026-04-09T17:08:07"/>
    <x v="16"/>
    <s v="anonymous"/>
    <x v="0"/>
    <m/>
    <s v="Weekly"/>
    <n v="4"/>
    <n v="5"/>
    <s v="Add touchtunes"/>
    <s v="$30-$45"/>
    <n v="4"/>
    <s v="Yes"/>
    <s v="Free drinks after a certain amount spent "/>
    <x v="1"/>
    <s v="n/a"/>
  </r>
  <r>
    <x v="17"/>
    <d v="2026-04-09T17:54:42"/>
    <d v="2026-04-09T17:55:16"/>
    <x v="17"/>
    <s v="anonymous"/>
    <x v="0"/>
    <m/>
    <s v="Daily"/>
    <n v="4"/>
    <n v="4"/>
    <s v="Better music"/>
    <s v="$30-$45"/>
    <n v="4"/>
    <s v="Maybe"/>
    <s v="Free drinks after a certain amount spent "/>
    <x v="1"/>
    <s v="More mocktails"/>
  </r>
  <r>
    <x v="18"/>
    <d v="2026-04-10T10:13:24"/>
    <d v="2026-04-10T10:14:08"/>
    <x v="18"/>
    <s v="anonymous"/>
    <x v="0"/>
    <m/>
    <s v="Monthly"/>
    <n v="5"/>
    <n v="4"/>
    <s v="wait time "/>
    <s v="$30-$45"/>
    <n v="5"/>
    <s v="Yes"/>
    <s v="Discounts on drinks and events (including extended happy hour)"/>
    <x v="1"/>
    <s v="great atmosphere "/>
  </r>
  <r>
    <x v="19"/>
    <d v="2026-04-10T13:06:50"/>
    <d v="2026-04-10T13:08:54"/>
    <x v="19"/>
    <s v="anonymous"/>
    <x v="0"/>
    <m/>
    <s v="Yearly"/>
    <n v="4"/>
    <n v="4"/>
    <s v="Live music"/>
    <s v="$15-$30"/>
    <n v="3"/>
    <s v="Yes"/>
    <s v="Free drinks after a certain amount spent "/>
    <x v="0"/>
    <m/>
  </r>
  <r>
    <x v="20"/>
    <d v="2026-04-10T14:47:43"/>
    <d v="2026-04-10T14:49:21"/>
    <x v="20"/>
    <s v="anonymous"/>
    <x v="0"/>
    <m/>
    <s v="Seasonal"/>
    <n v="5"/>
    <n v="4"/>
    <s v="Love the atmosphere. No improvements needed."/>
    <s v="$30-$45"/>
    <n v="5"/>
    <s v="Yes"/>
    <s v="Discounts on drinks and events (including extended happy hour)"/>
    <x v="1"/>
    <s v="Prices could be slightly lowered. I would come more often if so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7655D-1715-4DE3-A352-616635FF228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B23" firstHeaderRow="1" firstDataRow="1" firstDataCol="1"/>
  <pivotFields count="17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umFmtId="167" showAll="0"/>
    <pivotField numFmtId="167" showAll="0"/>
    <pivotField dataField="1" numFmtId="45"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Time Completed" fld="3" subtotal="average" baseField="0" baseItem="0" numFmtId="45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23" totalsRowCount="1">
  <autoFilter ref="A1:Q22" xr:uid="{00000000-0009-0000-0100-000001000000}"/>
  <tableColumns count="17">
    <tableColumn id="1" xr3:uid="{00000000-0010-0000-0000-000001000000}" name="ID" dataDxfId="20" totalsRowDxfId="16"/>
    <tableColumn id="2" xr3:uid="{00000000-0010-0000-0000-000002000000}" name="Start time" dataDxfId="19" totalsRowDxfId="15"/>
    <tableColumn id="3" xr3:uid="{00000000-0010-0000-0000-000003000000}" name="Completion time" dataDxfId="18" totalsRowDxfId="14"/>
    <tableColumn id="17" xr3:uid="{F38109D5-1269-4813-8A3E-72EBF40E11A4}" name="Time Completed" totalsRowFunction="custom" dataDxfId="17" totalsRowDxfId="13">
      <calculatedColumnFormula>C2-B2</calculatedColumnFormula>
      <totalsRowFormula>AVERAGE(D2:D22)</totalsRowFormula>
    </tableColumn>
    <tableColumn id="4" xr3:uid="{00000000-0010-0000-0000-000004000000}" name="Email" dataDxfId="33" totalsRowDxfId="12"/>
    <tableColumn id="5" xr3:uid="{00000000-0010-0000-0000-000005000000}" name="Name" dataDxfId="32" totalsRowDxfId="11"/>
    <tableColumn id="6" xr3:uid="{00000000-0010-0000-0000-000006000000}" name="Last modified time" dataDxfId="31" totalsRowDxfId="10"/>
    <tableColumn id="7" xr3:uid="{00000000-0010-0000-0000-000007000000}" name="How often do you visit Harding Tavern?" totalsRowFunction="custom" dataDxfId="30" totalsRowDxfId="9">
      <totalsRowFormula>AVERAGE(_xlfn.SWITCH("Never", 0, "Yearly", 1, "Seasonal", 2, "Monthly", 3, "Weekly", 4, "Daily", 5))</totalsRowFormula>
    </tableColumn>
    <tableColumn id="8" xr3:uid="{00000000-0010-0000-0000-000008000000}" name="How would you rate the atmosphere?" dataDxfId="29" totalsRowDxfId="8"/>
    <tableColumn id="9" xr3:uid="{00000000-0010-0000-0000-000009000000}" name="How would you rate the quality of service ? " dataDxfId="28" totalsRowDxfId="7"/>
    <tableColumn id="10" xr3:uid="{00000000-0010-0000-0000-00000A000000}" name="How can we improve the atmosphere? " dataDxfId="27" totalsRowDxfId="6"/>
    <tableColumn id="11" xr3:uid="{00000000-0010-0000-0000-00000B000000}" name="What do you typically spend per visit?" dataDxfId="26" totalsRowDxfId="5"/>
    <tableColumn id="12" xr3:uid="{00000000-0010-0000-0000-00000C000000}" name="How would you rate the drinks?" dataDxfId="25" totalsRowDxfId="4"/>
    <tableColumn id="13" xr3:uid="{00000000-0010-0000-0000-00000D000000}" name="Would you be interested in a rewards program for Harding Tavern?" totalsRowFunction="custom" dataDxfId="24" totalsRowDxfId="3">
      <totalsRowFormula>COUNTIF(Table1[Would you be interested in a rewards program for Harding Tavern?], "Maybe")</totalsRowFormula>
    </tableColumn>
    <tableColumn id="14" xr3:uid="{00000000-0010-0000-0000-00000E000000}" name="What kind of rewards would you like to see?" dataDxfId="23" totalsRowDxfId="2"/>
    <tableColumn id="15" xr3:uid="{00000000-0010-0000-0000-00000F000000}" name="Rate your experience today " dataDxfId="22" totalsRowDxfId="1"/>
    <tableColumn id="16" xr3:uid="{00000000-0010-0000-0000-000010000000}" name="Write any additional feedback you'd like to share below" dataDxfId="2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workbookViewId="0">
      <selection activeCell="A2" sqref="A2"/>
    </sheetView>
  </sheetViews>
  <sheetFormatPr defaultRowHeight="14.4" x14ac:dyDescent="0.3"/>
  <cols>
    <col min="1" max="1" width="20" bestFit="1" customWidth="1"/>
    <col min="2" max="2" width="20" style="3" bestFit="1" customWidth="1"/>
    <col min="3" max="3" width="20" bestFit="1" customWidth="1"/>
    <col min="4" max="4" width="20" style="4" customWidth="1"/>
    <col min="5" max="17" width="20" bestFit="1" customWidth="1"/>
  </cols>
  <sheetData>
    <row r="1" spans="1:17" x14ac:dyDescent="0.3">
      <c r="A1" t="s">
        <v>0</v>
      </c>
      <c r="B1" s="3" t="s">
        <v>1</v>
      </c>
      <c r="C1" t="s">
        <v>2</v>
      </c>
      <c r="D1" s="4" t="s">
        <v>59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1</v>
      </c>
      <c r="B2" s="3">
        <v>46121.564722222225</v>
      </c>
      <c r="C2" s="3">
        <v>46121.565312500003</v>
      </c>
      <c r="D2" s="4">
        <f t="shared" ref="D2:D22" si="0">C2-B2</f>
        <v>5.9027777751907706E-4</v>
      </c>
      <c r="E2" t="s">
        <v>16</v>
      </c>
      <c r="G2" s="1"/>
      <c r="H2" t="s">
        <v>17</v>
      </c>
      <c r="I2">
        <v>4</v>
      </c>
      <c r="J2">
        <v>3</v>
      </c>
      <c r="K2" t="s">
        <v>18</v>
      </c>
      <c r="L2" t="s">
        <v>19</v>
      </c>
      <c r="M2">
        <v>4</v>
      </c>
      <c r="N2" t="s">
        <v>20</v>
      </c>
      <c r="O2" t="s">
        <v>21</v>
      </c>
      <c r="P2">
        <v>4</v>
      </c>
      <c r="Q2" t="s">
        <v>22</v>
      </c>
    </row>
    <row r="3" spans="1:17" x14ac:dyDescent="0.3">
      <c r="A3">
        <v>2</v>
      </c>
      <c r="B3" s="3">
        <v>46121.564918981501</v>
      </c>
      <c r="C3" s="3">
        <v>46121.565462963001</v>
      </c>
      <c r="D3" s="4">
        <f t="shared" si="0"/>
        <v>5.4398149950429797E-4</v>
      </c>
      <c r="E3" t="s">
        <v>16</v>
      </c>
      <c r="G3" s="1"/>
      <c r="H3" t="s">
        <v>23</v>
      </c>
      <c r="I3">
        <v>5</v>
      </c>
      <c r="J3">
        <v>5</v>
      </c>
      <c r="K3" t="s">
        <v>24</v>
      </c>
      <c r="L3" t="s">
        <v>19</v>
      </c>
      <c r="M3">
        <v>5</v>
      </c>
      <c r="N3" t="s">
        <v>20</v>
      </c>
      <c r="O3" t="s">
        <v>21</v>
      </c>
      <c r="P3">
        <v>5</v>
      </c>
    </row>
    <row r="4" spans="1:17" x14ac:dyDescent="0.3">
      <c r="A4">
        <v>3</v>
      </c>
      <c r="B4" s="3">
        <v>46121.565462963001</v>
      </c>
      <c r="C4" s="3">
        <v>46121.565625000003</v>
      </c>
      <c r="D4" s="4">
        <f t="shared" si="0"/>
        <v>1.6203700215555727E-4</v>
      </c>
      <c r="E4" t="s">
        <v>16</v>
      </c>
      <c r="G4" s="1"/>
      <c r="H4" t="s">
        <v>25</v>
      </c>
      <c r="I4">
        <v>5</v>
      </c>
      <c r="J4">
        <v>5</v>
      </c>
      <c r="L4" t="s">
        <v>26</v>
      </c>
      <c r="M4">
        <v>5</v>
      </c>
      <c r="N4" t="s">
        <v>20</v>
      </c>
      <c r="O4" t="s">
        <v>27</v>
      </c>
      <c r="P4">
        <v>4</v>
      </c>
    </row>
    <row r="5" spans="1:17" x14ac:dyDescent="0.3">
      <c r="A5">
        <v>4</v>
      </c>
      <c r="B5" s="3">
        <v>46121.568171296298</v>
      </c>
      <c r="C5" s="3">
        <v>46121.568506944401</v>
      </c>
      <c r="D5" s="4">
        <f t="shared" si="0"/>
        <v>3.3564810291863978E-4</v>
      </c>
      <c r="E5" t="s">
        <v>16</v>
      </c>
      <c r="G5" s="1"/>
      <c r="H5" t="s">
        <v>28</v>
      </c>
      <c r="I5">
        <v>5</v>
      </c>
      <c r="J5">
        <v>4</v>
      </c>
      <c r="L5" t="s">
        <v>26</v>
      </c>
      <c r="M5">
        <v>4</v>
      </c>
      <c r="N5" t="s">
        <v>29</v>
      </c>
      <c r="O5" t="s">
        <v>21</v>
      </c>
      <c r="P5">
        <v>5</v>
      </c>
    </row>
    <row r="6" spans="1:17" x14ac:dyDescent="0.3">
      <c r="A6">
        <v>5</v>
      </c>
      <c r="B6" s="3">
        <v>46121.565844907404</v>
      </c>
      <c r="C6" s="3">
        <v>46121.568576388898</v>
      </c>
      <c r="D6" s="4">
        <f t="shared" si="0"/>
        <v>2.7314814942656085E-3</v>
      </c>
      <c r="E6" t="s">
        <v>16</v>
      </c>
      <c r="G6" s="1"/>
      <c r="H6" t="s">
        <v>23</v>
      </c>
      <c r="I6">
        <v>5</v>
      </c>
      <c r="J6">
        <v>4</v>
      </c>
      <c r="K6" t="s">
        <v>30</v>
      </c>
      <c r="L6" t="s">
        <v>31</v>
      </c>
      <c r="M6">
        <v>5</v>
      </c>
      <c r="N6" t="s">
        <v>32</v>
      </c>
      <c r="O6" t="s">
        <v>21</v>
      </c>
      <c r="P6">
        <v>3</v>
      </c>
    </row>
    <row r="7" spans="1:17" x14ac:dyDescent="0.3">
      <c r="A7">
        <v>6</v>
      </c>
      <c r="B7" s="3">
        <v>46121.567685185197</v>
      </c>
      <c r="C7" s="3">
        <v>46121.568703703699</v>
      </c>
      <c r="D7" s="4">
        <f t="shared" si="0"/>
        <v>1.0185185019508936E-3</v>
      </c>
      <c r="E7" t="s">
        <v>16</v>
      </c>
      <c r="G7" s="1"/>
      <c r="H7" t="s">
        <v>33</v>
      </c>
      <c r="I7">
        <v>5</v>
      </c>
      <c r="J7">
        <v>4</v>
      </c>
      <c r="K7" t="s">
        <v>34</v>
      </c>
      <c r="L7" t="s">
        <v>19</v>
      </c>
      <c r="M7">
        <v>5</v>
      </c>
      <c r="N7" t="s">
        <v>20</v>
      </c>
      <c r="O7" t="s">
        <v>27</v>
      </c>
      <c r="P7">
        <v>4</v>
      </c>
      <c r="Q7" t="s">
        <v>35</v>
      </c>
    </row>
    <row r="8" spans="1:17" x14ac:dyDescent="0.3">
      <c r="A8">
        <v>7</v>
      </c>
      <c r="B8" s="3">
        <v>46121.568495370397</v>
      </c>
      <c r="C8" s="3">
        <v>46121.5713888889</v>
      </c>
      <c r="D8" s="4">
        <f t="shared" si="0"/>
        <v>2.8935185036971234E-3</v>
      </c>
      <c r="E8" t="s">
        <v>16</v>
      </c>
      <c r="G8" s="1"/>
      <c r="H8" t="s">
        <v>36</v>
      </c>
      <c r="I8">
        <v>4</v>
      </c>
      <c r="J8">
        <v>4</v>
      </c>
      <c r="K8" t="s">
        <v>37</v>
      </c>
      <c r="L8" t="s">
        <v>26</v>
      </c>
      <c r="M8">
        <v>4</v>
      </c>
      <c r="N8" t="s">
        <v>29</v>
      </c>
      <c r="O8" t="s">
        <v>27</v>
      </c>
      <c r="P8">
        <v>4</v>
      </c>
    </row>
    <row r="9" spans="1:17" x14ac:dyDescent="0.3">
      <c r="A9">
        <v>8</v>
      </c>
      <c r="B9" s="3">
        <v>46121.572233796302</v>
      </c>
      <c r="C9" s="3">
        <v>46121.572581018503</v>
      </c>
      <c r="D9" s="4">
        <f t="shared" si="0"/>
        <v>3.4722220152616501E-4</v>
      </c>
      <c r="E9" t="s">
        <v>16</v>
      </c>
      <c r="G9" s="1"/>
      <c r="H9" t="s">
        <v>23</v>
      </c>
      <c r="I9">
        <v>5</v>
      </c>
      <c r="J9">
        <v>5</v>
      </c>
      <c r="L9" t="s">
        <v>19</v>
      </c>
      <c r="M9">
        <v>5</v>
      </c>
      <c r="N9" t="s">
        <v>29</v>
      </c>
      <c r="O9" t="s">
        <v>27</v>
      </c>
      <c r="P9">
        <v>5</v>
      </c>
    </row>
    <row r="10" spans="1:17" x14ac:dyDescent="0.3">
      <c r="A10">
        <v>9</v>
      </c>
      <c r="B10" s="3">
        <v>46121.574074074102</v>
      </c>
      <c r="C10" s="3">
        <v>46121.574270833298</v>
      </c>
      <c r="D10" s="4">
        <f t="shared" si="0"/>
        <v>1.9675919611472636E-4</v>
      </c>
      <c r="E10" t="s">
        <v>16</v>
      </c>
      <c r="G10" s="1"/>
      <c r="H10" t="s">
        <v>25</v>
      </c>
      <c r="I10">
        <v>5</v>
      </c>
      <c r="J10">
        <v>5</v>
      </c>
      <c r="L10" t="s">
        <v>26</v>
      </c>
      <c r="M10">
        <v>5</v>
      </c>
      <c r="N10" t="s">
        <v>20</v>
      </c>
      <c r="O10" t="s">
        <v>21</v>
      </c>
      <c r="P10">
        <v>5</v>
      </c>
    </row>
    <row r="11" spans="1:17" x14ac:dyDescent="0.3">
      <c r="A11">
        <v>10</v>
      </c>
      <c r="B11" s="3">
        <v>46121.574155092603</v>
      </c>
      <c r="C11" s="3">
        <v>46121.574988425898</v>
      </c>
      <c r="D11" s="4">
        <f t="shared" si="0"/>
        <v>8.333332953043282E-4</v>
      </c>
      <c r="E11" t="s">
        <v>16</v>
      </c>
      <c r="G11" s="1"/>
      <c r="H11" t="s">
        <v>33</v>
      </c>
      <c r="I11">
        <v>5</v>
      </c>
      <c r="J11">
        <v>5</v>
      </c>
      <c r="K11" t="s">
        <v>38</v>
      </c>
      <c r="L11" t="s">
        <v>26</v>
      </c>
      <c r="M11">
        <v>5</v>
      </c>
      <c r="N11" t="s">
        <v>20</v>
      </c>
      <c r="O11" t="s">
        <v>39</v>
      </c>
      <c r="P11">
        <v>5</v>
      </c>
      <c r="Q11" t="s">
        <v>40</v>
      </c>
    </row>
    <row r="12" spans="1:17" x14ac:dyDescent="0.3">
      <c r="A12">
        <v>11</v>
      </c>
      <c r="B12" s="3">
        <v>46121.577013888898</v>
      </c>
      <c r="C12" s="3">
        <v>46121.577488425901</v>
      </c>
      <c r="D12" s="4">
        <f t="shared" si="0"/>
        <v>4.7453700244659558E-4</v>
      </c>
      <c r="E12" t="s">
        <v>16</v>
      </c>
      <c r="G12" s="1"/>
      <c r="H12" t="s">
        <v>23</v>
      </c>
      <c r="I12">
        <v>4</v>
      </c>
      <c r="J12">
        <v>5</v>
      </c>
      <c r="K12" t="s">
        <v>41</v>
      </c>
      <c r="L12" t="s">
        <v>19</v>
      </c>
      <c r="M12">
        <v>5</v>
      </c>
      <c r="N12" t="s">
        <v>29</v>
      </c>
      <c r="O12" t="s">
        <v>27</v>
      </c>
      <c r="P12">
        <v>5</v>
      </c>
    </row>
    <row r="13" spans="1:17" x14ac:dyDescent="0.3">
      <c r="A13">
        <v>12</v>
      </c>
      <c r="B13" s="3">
        <v>46121.578472222202</v>
      </c>
      <c r="C13" s="3">
        <v>46121.581516203703</v>
      </c>
      <c r="D13" s="4">
        <f t="shared" si="0"/>
        <v>3.0439815018326044E-3</v>
      </c>
      <c r="E13" t="s">
        <v>16</v>
      </c>
      <c r="G13" s="1"/>
      <c r="H13" t="s">
        <v>36</v>
      </c>
      <c r="I13">
        <v>4</v>
      </c>
      <c r="J13">
        <v>3</v>
      </c>
      <c r="K13" t="s">
        <v>42</v>
      </c>
      <c r="L13" t="s">
        <v>26</v>
      </c>
      <c r="M13">
        <v>3</v>
      </c>
      <c r="N13" t="s">
        <v>32</v>
      </c>
      <c r="O13" t="s">
        <v>27</v>
      </c>
      <c r="P13">
        <v>3</v>
      </c>
    </row>
    <row r="14" spans="1:17" x14ac:dyDescent="0.3">
      <c r="A14">
        <v>13</v>
      </c>
      <c r="B14" s="3">
        <v>46121.579108796301</v>
      </c>
      <c r="C14" s="3">
        <v>46121.583020833299</v>
      </c>
      <c r="D14" s="4">
        <f t="shared" si="0"/>
        <v>3.9120369983720593E-3</v>
      </c>
      <c r="E14" t="s">
        <v>16</v>
      </c>
      <c r="G14" s="1"/>
      <c r="H14" t="s">
        <v>36</v>
      </c>
      <c r="I14">
        <v>3</v>
      </c>
      <c r="J14">
        <v>5</v>
      </c>
      <c r="K14" t="s">
        <v>43</v>
      </c>
      <c r="L14" t="s">
        <v>19</v>
      </c>
      <c r="M14">
        <v>3</v>
      </c>
      <c r="N14" t="s">
        <v>32</v>
      </c>
      <c r="O14" t="s">
        <v>39</v>
      </c>
      <c r="P14">
        <v>4</v>
      </c>
    </row>
    <row r="15" spans="1:17" x14ac:dyDescent="0.3">
      <c r="A15">
        <v>14</v>
      </c>
      <c r="B15" s="3">
        <v>46121.583043981504</v>
      </c>
      <c r="C15" s="3">
        <v>46121.5836458333</v>
      </c>
      <c r="D15" s="4">
        <f t="shared" si="0"/>
        <v>6.0185179609106854E-4</v>
      </c>
      <c r="E15" t="s">
        <v>16</v>
      </c>
      <c r="G15" s="1"/>
      <c r="H15" t="s">
        <v>33</v>
      </c>
      <c r="I15">
        <v>5</v>
      </c>
      <c r="J15">
        <v>5</v>
      </c>
      <c r="K15" t="s">
        <v>44</v>
      </c>
      <c r="L15" t="s">
        <v>45</v>
      </c>
      <c r="M15">
        <v>5</v>
      </c>
      <c r="N15" t="s">
        <v>20</v>
      </c>
      <c r="O15" t="s">
        <v>27</v>
      </c>
      <c r="P15">
        <v>5</v>
      </c>
      <c r="Q15" t="s">
        <v>46</v>
      </c>
    </row>
    <row r="16" spans="1:17" x14ac:dyDescent="0.3">
      <c r="A16">
        <v>15</v>
      </c>
      <c r="B16" s="3">
        <v>46121.602314814802</v>
      </c>
      <c r="C16" s="3">
        <v>46121.617384259298</v>
      </c>
      <c r="D16" s="4">
        <f t="shared" si="0"/>
        <v>1.5069444496475626E-2</v>
      </c>
      <c r="E16" t="s">
        <v>16</v>
      </c>
      <c r="G16" s="1"/>
      <c r="H16" t="s">
        <v>33</v>
      </c>
      <c r="I16">
        <v>4</v>
      </c>
      <c r="J16">
        <v>4</v>
      </c>
      <c r="K16" t="s">
        <v>47</v>
      </c>
      <c r="L16" t="s">
        <v>31</v>
      </c>
      <c r="M16">
        <v>5</v>
      </c>
      <c r="N16" t="s">
        <v>20</v>
      </c>
      <c r="O16" t="s">
        <v>27</v>
      </c>
      <c r="P16">
        <v>4</v>
      </c>
      <c r="Q16" t="s">
        <v>48</v>
      </c>
    </row>
    <row r="17" spans="1:17" x14ac:dyDescent="0.3">
      <c r="A17">
        <v>16</v>
      </c>
      <c r="B17" s="3">
        <v>46121.686562499999</v>
      </c>
      <c r="C17" s="3">
        <v>46121.6930671296</v>
      </c>
      <c r="D17" s="4">
        <f t="shared" si="0"/>
        <v>6.5046296003856696E-3</v>
      </c>
      <c r="E17" t="s">
        <v>16</v>
      </c>
      <c r="G17" s="1"/>
      <c r="H17" t="s">
        <v>23</v>
      </c>
      <c r="I17">
        <v>5</v>
      </c>
      <c r="J17">
        <v>5</v>
      </c>
      <c r="K17" t="s">
        <v>49</v>
      </c>
      <c r="L17" t="s">
        <v>19</v>
      </c>
      <c r="M17">
        <v>5</v>
      </c>
      <c r="N17" t="s">
        <v>20</v>
      </c>
      <c r="O17" t="s">
        <v>27</v>
      </c>
      <c r="P17">
        <v>5</v>
      </c>
    </row>
    <row r="18" spans="1:17" x14ac:dyDescent="0.3">
      <c r="A18">
        <v>17</v>
      </c>
      <c r="B18" s="3">
        <v>46121.569270833301</v>
      </c>
      <c r="C18" s="3">
        <v>46121.713969907403</v>
      </c>
      <c r="D18" s="4">
        <f t="shared" si="0"/>
        <v>0.14469907410239102</v>
      </c>
      <c r="E18" t="s">
        <v>16</v>
      </c>
      <c r="G18" s="1"/>
      <c r="H18" t="s">
        <v>33</v>
      </c>
      <c r="I18">
        <v>4</v>
      </c>
      <c r="J18">
        <v>5</v>
      </c>
      <c r="K18" t="s">
        <v>50</v>
      </c>
      <c r="L18" t="s">
        <v>19</v>
      </c>
      <c r="M18">
        <v>4</v>
      </c>
      <c r="N18" t="s">
        <v>20</v>
      </c>
      <c r="O18" t="s">
        <v>21</v>
      </c>
      <c r="P18">
        <v>5</v>
      </c>
      <c r="Q18" t="s">
        <v>51</v>
      </c>
    </row>
    <row r="19" spans="1:17" x14ac:dyDescent="0.3">
      <c r="A19">
        <v>18</v>
      </c>
      <c r="B19" s="3">
        <v>46121.746319444399</v>
      </c>
      <c r="C19" s="3">
        <v>46121.746712963002</v>
      </c>
      <c r="D19" s="4">
        <f t="shared" si="0"/>
        <v>3.9351860323222354E-4</v>
      </c>
      <c r="E19" t="s">
        <v>16</v>
      </c>
      <c r="G19" s="1"/>
      <c r="H19" t="s">
        <v>25</v>
      </c>
      <c r="I19">
        <v>4</v>
      </c>
      <c r="J19">
        <v>4</v>
      </c>
      <c r="K19" t="s">
        <v>18</v>
      </c>
      <c r="L19" t="s">
        <v>19</v>
      </c>
      <c r="M19">
        <v>4</v>
      </c>
      <c r="N19" t="s">
        <v>29</v>
      </c>
      <c r="O19" t="s">
        <v>21</v>
      </c>
      <c r="P19">
        <v>5</v>
      </c>
      <c r="Q19" t="s">
        <v>52</v>
      </c>
    </row>
    <row r="20" spans="1:17" x14ac:dyDescent="0.3">
      <c r="A20">
        <v>19</v>
      </c>
      <c r="B20" s="3">
        <v>46122.425972222198</v>
      </c>
      <c r="C20" s="3">
        <v>46122.426481481503</v>
      </c>
      <c r="D20" s="4">
        <f t="shared" si="0"/>
        <v>5.0925930554512888E-4</v>
      </c>
      <c r="E20" t="s">
        <v>16</v>
      </c>
      <c r="G20" s="1"/>
      <c r="H20" t="s">
        <v>23</v>
      </c>
      <c r="I20">
        <v>5</v>
      </c>
      <c r="J20">
        <v>4</v>
      </c>
      <c r="K20" t="s">
        <v>53</v>
      </c>
      <c r="L20" t="s">
        <v>19</v>
      </c>
      <c r="M20">
        <v>5</v>
      </c>
      <c r="N20" t="s">
        <v>20</v>
      </c>
      <c r="O20" t="s">
        <v>27</v>
      </c>
      <c r="P20">
        <v>5</v>
      </c>
      <c r="Q20" t="s">
        <v>54</v>
      </c>
    </row>
    <row r="21" spans="1:17" x14ac:dyDescent="0.3">
      <c r="A21">
        <v>20</v>
      </c>
      <c r="B21" s="3">
        <v>46122.546412037002</v>
      </c>
      <c r="C21" s="3">
        <v>46122.547847222202</v>
      </c>
      <c r="D21" s="4">
        <f t="shared" si="0"/>
        <v>1.435185200534761E-3</v>
      </c>
      <c r="E21" t="s">
        <v>16</v>
      </c>
      <c r="G21" s="1"/>
      <c r="H21" t="s">
        <v>28</v>
      </c>
      <c r="I21">
        <v>4</v>
      </c>
      <c r="J21">
        <v>4</v>
      </c>
      <c r="K21" t="s">
        <v>55</v>
      </c>
      <c r="L21" t="s">
        <v>26</v>
      </c>
      <c r="M21">
        <v>3</v>
      </c>
      <c r="N21" t="s">
        <v>20</v>
      </c>
      <c r="O21" t="s">
        <v>21</v>
      </c>
      <c r="P21">
        <v>4</v>
      </c>
    </row>
    <row r="22" spans="1:17" x14ac:dyDescent="0.3">
      <c r="A22">
        <v>21</v>
      </c>
      <c r="B22" s="3">
        <v>46122.6164699074</v>
      </c>
      <c r="C22" s="3">
        <v>46122.617604166699</v>
      </c>
      <c r="D22" s="4">
        <f t="shared" si="0"/>
        <v>1.1342592988512479E-3</v>
      </c>
      <c r="E22" t="s">
        <v>16</v>
      </c>
      <c r="G22" s="1"/>
      <c r="H22" t="s">
        <v>17</v>
      </c>
      <c r="I22">
        <v>5</v>
      </c>
      <c r="J22">
        <v>4</v>
      </c>
      <c r="K22" t="s">
        <v>56</v>
      </c>
      <c r="L22" t="s">
        <v>19</v>
      </c>
      <c r="M22">
        <v>5</v>
      </c>
      <c r="N22" t="s">
        <v>20</v>
      </c>
      <c r="O22" t="s">
        <v>27</v>
      </c>
      <c r="P22">
        <v>5</v>
      </c>
      <c r="Q22" t="s">
        <v>57</v>
      </c>
    </row>
    <row r="23" spans="1:17" x14ac:dyDescent="0.3">
      <c r="A23" s="2"/>
      <c r="C23" s="3"/>
      <c r="D23" s="4">
        <f>AVERAGE(D2:D22)</f>
        <v>8.9252645467197342E-3</v>
      </c>
      <c r="E23" s="2"/>
      <c r="F23" s="2"/>
      <c r="G23" s="1"/>
      <c r="H23" s="2">
        <f>AVERAGE(_xlfn.SWITCH("Never", 0, "Yearly", 1, "Seasonal", 2, "Monthly", 3, "Weekly", 4, "Daily", 5))</f>
        <v>5</v>
      </c>
      <c r="I23" s="2"/>
      <c r="J23" s="2"/>
      <c r="K23" s="2"/>
      <c r="L23" s="2"/>
      <c r="M23" s="2"/>
      <c r="N23" s="2">
        <f>COUNTIF(Table1[Would you be interested in a rewards program for Harding Tavern?], "Maybe")</f>
        <v>5</v>
      </c>
      <c r="O23" s="2"/>
      <c r="P23" s="2"/>
      <c r="Q23" s="2"/>
    </row>
    <row r="24" spans="1:17" x14ac:dyDescent="0.3">
      <c r="N24">
        <f>SUM(COUNTIF(Table1[Would you be interested in a rewards program for Harding Tavern?], "Yes"), COUNTIF(Table1[Would you be interested in a rewards program for Harding Tavern?], "No"), COUNTIF(Table1[Would you be interested in a rewards program for Harding Tavern?], "Maybe"))</f>
        <v>21</v>
      </c>
    </row>
    <row r="26" spans="1:17" x14ac:dyDescent="0.3">
      <c r="A26" t="s">
        <v>58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D237-268D-4D8A-B874-55C1708224B2}">
  <dimension ref="A1:B23"/>
  <sheetViews>
    <sheetView tabSelected="1" workbookViewId="0">
      <selection activeCell="M23" sqref="M23"/>
    </sheetView>
  </sheetViews>
  <sheetFormatPr defaultRowHeight="14.4" x14ac:dyDescent="0.3"/>
  <cols>
    <col min="1" max="1" width="12.5546875" bestFit="1" customWidth="1"/>
    <col min="2" max="2" width="24.6640625" bestFit="1" customWidth="1"/>
    <col min="3" max="3" width="22.88671875" bestFit="1" customWidth="1"/>
    <col min="4" max="4" width="2" bestFit="1" customWidth="1"/>
    <col min="5" max="5" width="10.77734375" bestFit="1" customWidth="1"/>
  </cols>
  <sheetData>
    <row r="1" spans="1:2" x14ac:dyDescent="0.3">
      <c r="A1" s="5" t="s">
        <v>60</v>
      </c>
      <c r="B1" t="s">
        <v>62</v>
      </c>
    </row>
    <row r="2" spans="1:2" x14ac:dyDescent="0.3">
      <c r="A2" s="6">
        <v>1</v>
      </c>
      <c r="B2" s="4">
        <v>5.9027777777777778E-4</v>
      </c>
    </row>
    <row r="3" spans="1:2" x14ac:dyDescent="0.3">
      <c r="A3" s="6">
        <v>2</v>
      </c>
      <c r="B3" s="4">
        <v>5.4398148148148144E-4</v>
      </c>
    </row>
    <row r="4" spans="1:2" x14ac:dyDescent="0.3">
      <c r="A4" s="6">
        <v>3</v>
      </c>
      <c r="B4" s="4">
        <v>1.6203703703703703E-4</v>
      </c>
    </row>
    <row r="5" spans="1:2" x14ac:dyDescent="0.3">
      <c r="A5" s="6">
        <v>4</v>
      </c>
      <c r="B5" s="4">
        <v>3.3564814814814812E-4</v>
      </c>
    </row>
    <row r="6" spans="1:2" x14ac:dyDescent="0.3">
      <c r="A6" s="6">
        <v>5</v>
      </c>
      <c r="B6" s="4">
        <v>2.7314814814814814E-3</v>
      </c>
    </row>
    <row r="7" spans="1:2" x14ac:dyDescent="0.3">
      <c r="A7" s="6">
        <v>6</v>
      </c>
      <c r="B7" s="4">
        <v>1.0185185185185184E-3</v>
      </c>
    </row>
    <row r="8" spans="1:2" x14ac:dyDescent="0.3">
      <c r="A8" s="6">
        <v>7</v>
      </c>
      <c r="B8" s="4">
        <v>2.8935185185185184E-3</v>
      </c>
    </row>
    <row r="9" spans="1:2" x14ac:dyDescent="0.3">
      <c r="A9" s="6">
        <v>8</v>
      </c>
      <c r="B9" s="4">
        <v>3.4722222222222224E-4</v>
      </c>
    </row>
    <row r="10" spans="1:2" x14ac:dyDescent="0.3">
      <c r="A10" s="6">
        <v>9</v>
      </c>
      <c r="B10" s="4">
        <v>1.9675925925925926E-4</v>
      </c>
    </row>
    <row r="11" spans="1:2" x14ac:dyDescent="0.3">
      <c r="A11" s="6">
        <v>10</v>
      </c>
      <c r="B11" s="4">
        <v>8.3333333333333339E-4</v>
      </c>
    </row>
    <row r="12" spans="1:2" x14ac:dyDescent="0.3">
      <c r="A12" s="6">
        <v>11</v>
      </c>
      <c r="B12" s="4">
        <v>4.7453703703703704E-4</v>
      </c>
    </row>
    <row r="13" spans="1:2" x14ac:dyDescent="0.3">
      <c r="A13" s="6">
        <v>12</v>
      </c>
      <c r="B13" s="4">
        <v>3.0439814814814813E-3</v>
      </c>
    </row>
    <row r="14" spans="1:2" x14ac:dyDescent="0.3">
      <c r="A14" s="6">
        <v>13</v>
      </c>
      <c r="B14" s="4">
        <v>3.9120370370370368E-3</v>
      </c>
    </row>
    <row r="15" spans="1:2" x14ac:dyDescent="0.3">
      <c r="A15" s="6">
        <v>14</v>
      </c>
      <c r="B15" s="4">
        <v>6.018518518518519E-4</v>
      </c>
    </row>
    <row r="16" spans="1:2" x14ac:dyDescent="0.3">
      <c r="A16" s="6">
        <v>15</v>
      </c>
      <c r="B16" s="4">
        <v>1.5069444444444444E-2</v>
      </c>
    </row>
    <row r="17" spans="1:2" x14ac:dyDescent="0.3">
      <c r="A17" s="6">
        <v>16</v>
      </c>
      <c r="B17" s="4">
        <v>6.5046296296296293E-3</v>
      </c>
    </row>
    <row r="18" spans="1:2" x14ac:dyDescent="0.3">
      <c r="A18" s="6">
        <v>17</v>
      </c>
      <c r="B18" s="4">
        <v>0.14469907407407406</v>
      </c>
    </row>
    <row r="19" spans="1:2" x14ac:dyDescent="0.3">
      <c r="A19" s="6">
        <v>18</v>
      </c>
      <c r="B19" s="4">
        <v>3.9351851851851852E-4</v>
      </c>
    </row>
    <row r="20" spans="1:2" x14ac:dyDescent="0.3">
      <c r="A20" s="6">
        <v>19</v>
      </c>
      <c r="B20" s="4">
        <v>5.0925925925925921E-4</v>
      </c>
    </row>
    <row r="21" spans="1:2" x14ac:dyDescent="0.3">
      <c r="A21" s="6">
        <v>20</v>
      </c>
      <c r="B21" s="4">
        <v>1.4351851851851852E-3</v>
      </c>
    </row>
    <row r="22" spans="1:2" x14ac:dyDescent="0.3">
      <c r="A22" s="6">
        <v>21</v>
      </c>
      <c r="B22" s="4">
        <v>1.1342592592592593E-3</v>
      </c>
    </row>
    <row r="23" spans="1:2" x14ac:dyDescent="0.3">
      <c r="A23" s="6" t="s">
        <v>61</v>
      </c>
      <c r="B23" s="4">
        <v>8.9252645502645497E-3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paola martinez</cp:lastModifiedBy>
  <dcterms:created xsi:type="dcterms:W3CDTF">2026-04-13T14:24:05Z</dcterms:created>
  <dcterms:modified xsi:type="dcterms:W3CDTF">2026-04-13T15:25:55Z</dcterms:modified>
</cp:coreProperties>
</file>